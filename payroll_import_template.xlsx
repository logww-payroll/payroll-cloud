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  <sheet xmlns:r="http://schemas.openxmlformats.org/officeDocument/2006/relationships" name="Trip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i val="1"/>
      <sz val="9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D9E8F5"/>
        <bgColor rgb="00D9E8F5"/>
      </patternFill>
    </fill>
    <fill>
      <patternFill patternType="solid">
        <fgColor rgb="00D3D3D3"/>
        <bgColor rgb="00D3D3D3"/>
      </patternFill>
    </fill>
    <fill>
      <patternFill patternType="solid">
        <fgColor rgb="00E7F2FF"/>
        <bgColor rgb="00E7F2FF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164" fontId="0" fillId="5" borderId="1" pivotButton="0" quotePrefix="0" xfId="0"/>
    <xf numFmtId="0" fontId="0" fillId="5" borderId="1" pivotButton="0" quotePrefix="0" xfId="0"/>
    <xf numFmtId="0" fontId="0" fillId="6" borderId="1" pivotButton="0" quotePrefix="0" xfId="0"/>
    <xf numFmtId="1" fontId="0" fillId="6" borderId="1" applyAlignment="1" pivotButton="0" quotePrefix="0" xfId="0">
      <alignment horizontal="right"/>
    </xf>
    <xf numFmtId="1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Route / Trip Type</t>
        </is>
      </c>
      <c r="B1" s="1" t="inlineStr">
        <is>
          <t>Commission Rate (AED)</t>
        </is>
      </c>
    </row>
    <row r="2">
      <c r="A2" t="inlineStr">
        <is>
          <t>ORC</t>
        </is>
      </c>
      <c r="B2" s="2" t="n">
        <v>160</v>
      </c>
    </row>
    <row r="3">
      <c r="A3" t="inlineStr">
        <is>
          <t>UBF</t>
        </is>
      </c>
      <c r="B3" s="2" t="n">
        <v>35</v>
      </c>
    </row>
    <row r="4">
      <c r="A4" t="inlineStr">
        <is>
          <t>Impala</t>
        </is>
      </c>
      <c r="B4" s="2" t="n">
        <v>25</v>
      </c>
    </row>
    <row r="5">
      <c r="A5" t="inlineStr">
        <is>
          <t>Aujan</t>
        </is>
      </c>
      <c r="B5" s="2" t="n">
        <v>35</v>
      </c>
    </row>
    <row r="6">
      <c r="A6" t="inlineStr">
        <is>
          <t>Kingsley</t>
        </is>
      </c>
      <c r="B6" s="2" t="n">
        <v>25</v>
      </c>
    </row>
    <row r="7">
      <c r="A7" t="inlineStr">
        <is>
          <t>DIP to RAK</t>
        </is>
      </c>
      <c r="B7" s="2" t="n">
        <v>90</v>
      </c>
    </row>
    <row r="8">
      <c r="A8" t="inlineStr">
        <is>
          <t>DIP to Fujairah</t>
        </is>
      </c>
      <c r="B8" s="2" t="n">
        <v>100</v>
      </c>
    </row>
    <row r="9">
      <c r="A9" t="inlineStr">
        <is>
          <t>Crown</t>
        </is>
      </c>
      <c r="B9" s="2" t="n">
        <v>0</v>
      </c>
    </row>
    <row r="10">
      <c r="A10" t="inlineStr">
        <is>
          <t>Utmost</t>
        </is>
      </c>
      <c r="B10" s="2" t="n">
        <v>0</v>
      </c>
    </row>
    <row r="11">
      <c r="A11" t="inlineStr">
        <is>
          <t>Automech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LOGISTIQUE WORLD WIDE LLC — TRIP LOG</t>
        </is>
      </c>
    </row>
    <row r="2">
      <c r="A2" s="4" t="inlineStr">
        <is>
          <t xml:space="preserve">  Blue cells = enter data   |   Gray cells = auto-calculated (do not edit)   |   Select driver and route from dropdowns</t>
        </is>
      </c>
    </row>
    <row r="5">
      <c r="A5" s="5" t="inlineStr">
        <is>
          <t>Sl</t>
        </is>
      </c>
      <c r="B5" s="5" t="inlineStr">
        <is>
          <t>Date</t>
        </is>
      </c>
      <c r="C5" s="5" t="inlineStr">
        <is>
          <t>Driver Name</t>
        </is>
      </c>
      <c r="D5" s="6" t="inlineStr">
        <is>
          <t>Customer
(auto)</t>
        </is>
      </c>
      <c r="E5" s="5" t="inlineStr">
        <is>
          <t>Route / Trip Type</t>
        </is>
      </c>
      <c r="F5" s="5" t="inlineStr">
        <is>
          <t>Truck No</t>
        </is>
      </c>
      <c r="G5" s="6" t="inlineStr">
        <is>
          <t>Trip Comm
(auto, AED)</t>
        </is>
      </c>
      <c r="H5" s="5" t="inlineStr">
        <is>
          <t>Border Exp
(AED)</t>
        </is>
      </c>
      <c r="I5" s="5" t="inlineStr">
        <is>
          <t>Diesel Exp
(AED)</t>
        </is>
      </c>
      <c r="J5" s="5" t="inlineStr">
        <is>
          <t>Other Exp
(AED)</t>
        </is>
      </c>
      <c r="K5" s="6" t="inlineStr">
        <is>
          <t>Total
(auto, AED)</t>
        </is>
      </c>
    </row>
    <row r="6">
      <c r="A6" s="7" t="n">
        <v>1</v>
      </c>
      <c r="B6" s="8" t="n"/>
      <c r="C6" s="9" t="n"/>
      <c r="D6" s="10">
        <f>IFERROR(VLOOKUP(E6,Routes!$A$2:$D$100,3,0),"")</f>
        <v/>
      </c>
      <c r="E6" s="9" t="n"/>
      <c r="F6" s="9" t="n"/>
      <c r="G6" s="11">
        <f>IFERROR(IF(E6&lt;&gt;"",VLOOKUP(E6,Routes!$A$2:$B$100,2,0),""),"")</f>
        <v/>
      </c>
      <c r="H6" s="12" t="n"/>
      <c r="I6" s="12" t="n"/>
      <c r="J6" s="12" t="n"/>
      <c r="K6" s="11">
        <f>IFERROR(IF(E6&lt;&gt;"",G6+IF(H6="",0,H6)+IF(I6="",0,I6)+IF(J6="",0,J6),""),"")</f>
        <v/>
      </c>
    </row>
    <row r="7">
      <c r="A7" s="7">
        <f>+A6+1</f>
        <v/>
      </c>
      <c r="B7" s="8" t="n"/>
      <c r="C7" s="9" t="n"/>
      <c r="D7" s="10">
        <f>IFERROR(VLOOKUP(E7,Routes!$A$2:$D$100,3,0),"")</f>
        <v/>
      </c>
      <c r="E7" s="9" t="n"/>
      <c r="F7" s="9" t="n"/>
      <c r="G7" s="11">
        <f>IFERROR(IF(E7&lt;&gt;"",VLOOKUP(E7,Routes!$A$2:$B$100,2,0),""),"")</f>
        <v/>
      </c>
      <c r="H7" s="12" t="n"/>
      <c r="I7" s="12" t="n"/>
      <c r="J7" s="12" t="n"/>
      <c r="K7" s="11">
        <f>IFERROR(IF(E7&lt;&gt;"",G7+IF(H7="",0,H7)+IF(I7="",0,I7)+IF(J7="",0,J7),""),"")</f>
        <v/>
      </c>
    </row>
    <row r="8">
      <c r="A8" s="7">
        <f>+A7+1</f>
        <v/>
      </c>
      <c r="B8" s="8" t="n"/>
      <c r="C8" s="9" t="n"/>
      <c r="D8" s="10">
        <f>IFERROR(VLOOKUP(E8,Routes!$A$2:$D$100,3,0),"")</f>
        <v/>
      </c>
      <c r="E8" s="9" t="n"/>
      <c r="F8" s="9" t="n"/>
      <c r="G8" s="11">
        <f>IFERROR(IF(E8&lt;&gt;"",VLOOKUP(E8,Routes!$A$2:$B$100,2,0),""),"")</f>
        <v/>
      </c>
      <c r="H8" s="12" t="n"/>
      <c r="I8" s="12" t="n"/>
      <c r="J8" s="12" t="n"/>
      <c r="K8" s="11">
        <f>IFERROR(IF(E8&lt;&gt;"",G8+IF(H8="",0,H8)+IF(I8="",0,I8)+IF(J8="",0,J8),""),"")</f>
        <v/>
      </c>
    </row>
    <row r="9">
      <c r="A9" s="7">
        <f>+A8+1</f>
        <v/>
      </c>
      <c r="B9" s="8" t="n"/>
      <c r="C9" s="9" t="n"/>
      <c r="D9" s="10">
        <f>IFERROR(VLOOKUP(E9,Routes!$A$2:$D$100,3,0),"")</f>
        <v/>
      </c>
      <c r="E9" s="9" t="n"/>
      <c r="F9" s="9" t="n"/>
      <c r="G9" s="11">
        <f>IFERROR(IF(E9&lt;&gt;"",VLOOKUP(E9,Routes!$A$2:$B$100,2,0),""),"")</f>
        <v/>
      </c>
      <c r="H9" s="12" t="n"/>
      <c r="I9" s="12" t="n"/>
      <c r="J9" s="12" t="n"/>
      <c r="K9" s="11">
        <f>IFERROR(IF(E9&lt;&gt;"",G9+IF(H9="",0,H9)+IF(I9="",0,I9)+IF(J9="",0,J9),""),"")</f>
        <v/>
      </c>
    </row>
    <row r="10">
      <c r="A10" s="7">
        <f>+A9+1</f>
        <v/>
      </c>
      <c r="B10" s="8" t="n"/>
      <c r="C10" s="9" t="n"/>
      <c r="D10" s="10">
        <f>IFERROR(VLOOKUP(E10,Routes!$A$2:$D$100,3,0),"")</f>
        <v/>
      </c>
      <c r="E10" s="9" t="n"/>
      <c r="F10" s="9" t="n"/>
      <c r="G10" s="11">
        <f>IFERROR(IF(E10&lt;&gt;"",VLOOKUP(E10,Routes!$A$2:$B$100,2,0),""),"")</f>
        <v/>
      </c>
      <c r="H10" s="12" t="n"/>
      <c r="I10" s="12" t="n"/>
      <c r="J10" s="12" t="n"/>
      <c r="K10" s="11">
        <f>IFERROR(IF(E10&lt;&gt;"",G10+IF(H10="",0,H10)+IF(I10="",0,I10)+IF(J10="",0,J10),""),"")</f>
        <v/>
      </c>
    </row>
    <row r="11">
      <c r="A11" s="7">
        <f>+A10+1</f>
        <v/>
      </c>
      <c r="B11" s="8" t="n"/>
      <c r="C11" s="9" t="n"/>
      <c r="D11" s="10">
        <f>IFERROR(VLOOKUP(E11,Routes!$A$2:$D$100,3,0),"")</f>
        <v/>
      </c>
      <c r="E11" s="9" t="n"/>
      <c r="F11" s="9" t="n"/>
      <c r="G11" s="11">
        <f>IFERROR(IF(E11&lt;&gt;"",VLOOKUP(E11,Routes!$A$2:$B$100,2,0),""),"")</f>
        <v/>
      </c>
      <c r="H11" s="12" t="n"/>
      <c r="I11" s="12" t="n"/>
      <c r="J11" s="12" t="n"/>
      <c r="K11" s="11">
        <f>IFERROR(IF(E11&lt;&gt;"",G11+IF(H11="",0,H11)+IF(I11="",0,I11)+IF(J11="",0,J11),""),"")</f>
        <v/>
      </c>
    </row>
    <row r="12">
      <c r="A12" s="7">
        <f>+A11+1</f>
        <v/>
      </c>
      <c r="B12" s="8" t="n"/>
      <c r="C12" s="9" t="n"/>
      <c r="D12" s="10">
        <f>IFERROR(VLOOKUP(E12,Routes!$A$2:$D$100,3,0),"")</f>
        <v/>
      </c>
      <c r="E12" s="9" t="n"/>
      <c r="F12" s="9" t="n"/>
      <c r="G12" s="11">
        <f>IFERROR(IF(E12&lt;&gt;"",VLOOKUP(E12,Routes!$A$2:$B$100,2,0),""),"")</f>
        <v/>
      </c>
      <c r="H12" s="12" t="n"/>
      <c r="I12" s="12" t="n"/>
      <c r="J12" s="12" t="n"/>
      <c r="K12" s="11">
        <f>IFERROR(IF(E12&lt;&gt;"",G12+IF(H12="",0,H12)+IF(I12="",0,I12)+IF(J12="",0,J12),""),"")</f>
        <v/>
      </c>
    </row>
    <row r="13">
      <c r="A13" s="7">
        <f>+A12+1</f>
        <v/>
      </c>
      <c r="B13" s="8" t="n"/>
      <c r="C13" s="9" t="n"/>
      <c r="D13" s="10">
        <f>IFERROR(VLOOKUP(E13,Routes!$A$2:$D$100,3,0),"")</f>
        <v/>
      </c>
      <c r="E13" s="9" t="n"/>
      <c r="F13" s="9" t="n"/>
      <c r="G13" s="11">
        <f>IFERROR(IF(E13&lt;&gt;"",VLOOKUP(E13,Routes!$A$2:$B$100,2,0),""),"")</f>
        <v/>
      </c>
      <c r="H13" s="12" t="n"/>
      <c r="I13" s="12" t="n"/>
      <c r="J13" s="12" t="n"/>
      <c r="K13" s="11">
        <f>IFERROR(IF(E13&lt;&gt;"",G13+IF(H13="",0,H13)+IF(I13="",0,I13)+IF(J13="",0,J13),""),"")</f>
        <v/>
      </c>
    </row>
    <row r="14">
      <c r="A14" s="7">
        <f>+A13+1</f>
        <v/>
      </c>
      <c r="B14" s="8" t="n"/>
      <c r="C14" s="9" t="n"/>
      <c r="D14" s="10">
        <f>IFERROR(VLOOKUP(E14,Routes!$A$2:$D$100,3,0),"")</f>
        <v/>
      </c>
      <c r="E14" s="9" t="n"/>
      <c r="F14" s="9" t="n"/>
      <c r="G14" s="11">
        <f>IFERROR(IF(E14&lt;&gt;"",VLOOKUP(E14,Routes!$A$2:$B$100,2,0),""),"")</f>
        <v/>
      </c>
      <c r="H14" s="12" t="n"/>
      <c r="I14" s="12" t="n"/>
      <c r="J14" s="12" t="n"/>
      <c r="K14" s="11">
        <f>IFERROR(IF(E14&lt;&gt;"",G14+IF(H14="",0,H14)+IF(I14="",0,I14)+IF(J14="",0,J14),""),"")</f>
        <v/>
      </c>
    </row>
    <row r="15">
      <c r="A15" s="7">
        <f>+A14+1</f>
        <v/>
      </c>
      <c r="B15" s="8" t="n"/>
      <c r="C15" s="9" t="n"/>
      <c r="D15" s="10">
        <f>IFERROR(VLOOKUP(E15,Routes!$A$2:$D$100,3,0),"")</f>
        <v/>
      </c>
      <c r="E15" s="9" t="n"/>
      <c r="F15" s="9" t="n"/>
      <c r="G15" s="11">
        <f>IFERROR(IF(E15&lt;&gt;"",VLOOKUP(E15,Routes!$A$2:$B$100,2,0),""),"")</f>
        <v/>
      </c>
      <c r="H15" s="12" t="n"/>
      <c r="I15" s="12" t="n"/>
      <c r="J15" s="12" t="n"/>
      <c r="K15" s="11">
        <f>IFERROR(IF(E15&lt;&gt;"",G15+IF(H15="",0,H15)+IF(I15="",0,I15)+IF(J15="",0,J15),""),"")</f>
        <v/>
      </c>
    </row>
    <row r="16">
      <c r="A16" s="7">
        <f>+A15+1</f>
        <v/>
      </c>
      <c r="B16" s="8" t="n"/>
      <c r="C16" s="9" t="n"/>
      <c r="D16" s="10">
        <f>IFERROR(VLOOKUP(E16,Routes!$A$2:$D$100,3,0),"")</f>
        <v/>
      </c>
      <c r="E16" s="9" t="n"/>
      <c r="F16" s="9" t="n"/>
      <c r="G16" s="11">
        <f>IFERROR(IF(E16&lt;&gt;"",VLOOKUP(E16,Routes!$A$2:$B$100,2,0),""),"")</f>
        <v/>
      </c>
      <c r="H16" s="12" t="n"/>
      <c r="I16" s="12" t="n"/>
      <c r="J16" s="12" t="n"/>
      <c r="K16" s="11">
        <f>IFERROR(IF(E16&lt;&gt;"",G16+IF(H16="",0,H16)+IF(I16="",0,I16)+IF(J16="",0,J16),""),"")</f>
        <v/>
      </c>
    </row>
    <row r="17">
      <c r="A17" s="7">
        <f>+A16+1</f>
        <v/>
      </c>
      <c r="B17" s="8" t="n"/>
      <c r="C17" s="9" t="n"/>
      <c r="D17" s="10">
        <f>IFERROR(VLOOKUP(E17,Routes!$A$2:$D$100,3,0),"")</f>
        <v/>
      </c>
      <c r="E17" s="9" t="n"/>
      <c r="F17" s="9" t="n"/>
      <c r="G17" s="11">
        <f>IFERROR(IF(E17&lt;&gt;"",VLOOKUP(E17,Routes!$A$2:$B$100,2,0),""),"")</f>
        <v/>
      </c>
      <c r="H17" s="12" t="n"/>
      <c r="I17" s="12" t="n"/>
      <c r="J17" s="12" t="n"/>
      <c r="K17" s="11">
        <f>IFERROR(IF(E17&lt;&gt;"",G17+IF(H17="",0,H17)+IF(I17="",0,I17)+IF(J17="",0,J17),""),"")</f>
        <v/>
      </c>
    </row>
    <row r="18">
      <c r="A18" s="7">
        <f>+A17+1</f>
        <v/>
      </c>
      <c r="B18" s="8" t="n"/>
      <c r="C18" s="9" t="n"/>
      <c r="D18" s="10">
        <f>IFERROR(VLOOKUP(E18,Routes!$A$2:$D$100,3,0),"")</f>
        <v/>
      </c>
      <c r="E18" s="9" t="n"/>
      <c r="F18" s="9" t="n"/>
      <c r="G18" s="11">
        <f>IFERROR(IF(E18&lt;&gt;"",VLOOKUP(E18,Routes!$A$2:$B$100,2,0),""),"")</f>
        <v/>
      </c>
      <c r="H18" s="12" t="n"/>
      <c r="I18" s="12" t="n"/>
      <c r="J18" s="12" t="n"/>
      <c r="K18" s="11">
        <f>IFERROR(IF(E18&lt;&gt;"",G18+IF(H18="",0,H18)+IF(I18="",0,I18)+IF(J18="",0,J18),""),"")</f>
        <v/>
      </c>
    </row>
    <row r="19">
      <c r="A19" s="7">
        <f>+A18+1</f>
        <v/>
      </c>
      <c r="B19" s="8" t="n"/>
      <c r="C19" s="9" t="n"/>
      <c r="D19" s="10">
        <f>IFERROR(VLOOKUP(E19,Routes!$A$2:$D$100,3,0),"")</f>
        <v/>
      </c>
      <c r="E19" s="9" t="n"/>
      <c r="F19" s="9" t="n"/>
      <c r="G19" s="11">
        <f>IFERROR(IF(E19&lt;&gt;"",VLOOKUP(E19,Routes!$A$2:$B$100,2,0),""),"")</f>
        <v/>
      </c>
      <c r="H19" s="12" t="n"/>
      <c r="I19" s="12" t="n"/>
      <c r="J19" s="12" t="n"/>
      <c r="K19" s="11">
        <f>IFERROR(IF(E19&lt;&gt;"",G19+IF(H19="",0,H19)+IF(I19="",0,I19)+IF(J19="",0,J19),""),"")</f>
        <v/>
      </c>
    </row>
    <row r="20">
      <c r="A20" s="7">
        <f>+A19+1</f>
        <v/>
      </c>
      <c r="B20" s="8" t="n"/>
      <c r="C20" s="9" t="n"/>
      <c r="D20" s="10">
        <f>IFERROR(VLOOKUP(E20,Routes!$A$2:$D$100,3,0),"")</f>
        <v/>
      </c>
      <c r="E20" s="9" t="n"/>
      <c r="F20" s="9" t="n"/>
      <c r="G20" s="11">
        <f>IFERROR(IF(E20&lt;&gt;"",VLOOKUP(E20,Routes!$A$2:$B$100,2,0),""),"")</f>
        <v/>
      </c>
      <c r="H20" s="12" t="n"/>
      <c r="I20" s="12" t="n"/>
      <c r="J20" s="12" t="n"/>
      <c r="K20" s="11">
        <f>IFERROR(IF(E20&lt;&gt;"",G20+IF(H20="",0,H20)+IF(I20="",0,I20)+IF(J20="",0,J20),""),"")</f>
        <v/>
      </c>
    </row>
    <row r="21">
      <c r="A21" s="7">
        <f>+A20+1</f>
        <v/>
      </c>
      <c r="B21" s="8" t="n"/>
      <c r="C21" s="9" t="n"/>
      <c r="D21" s="10">
        <f>IFERROR(VLOOKUP(E21,Routes!$A$2:$D$100,3,0),"")</f>
        <v/>
      </c>
      <c r="E21" s="9" t="n"/>
      <c r="F21" s="9" t="n"/>
      <c r="G21" s="11">
        <f>IFERROR(IF(E21&lt;&gt;"",VLOOKUP(E21,Routes!$A$2:$B$100,2,0),""),"")</f>
        <v/>
      </c>
      <c r="H21" s="12" t="n"/>
      <c r="I21" s="12" t="n"/>
      <c r="J21" s="12" t="n"/>
      <c r="K21" s="11">
        <f>IFERROR(IF(E21&lt;&gt;"",G21+IF(H21="",0,H21)+IF(I21="",0,I21)+IF(J21="",0,J21),""),"")</f>
        <v/>
      </c>
    </row>
    <row r="22">
      <c r="A22" s="7">
        <f>+A21+1</f>
        <v/>
      </c>
      <c r="B22" s="8" t="n"/>
      <c r="C22" s="9" t="n"/>
      <c r="D22" s="10">
        <f>IFERROR(VLOOKUP(E22,Routes!$A$2:$D$100,3,0),"")</f>
        <v/>
      </c>
      <c r="E22" s="9" t="n"/>
      <c r="F22" s="9" t="n"/>
      <c r="G22" s="11">
        <f>IFERROR(IF(E22&lt;&gt;"",VLOOKUP(E22,Routes!$A$2:$B$100,2,0),""),"")</f>
        <v/>
      </c>
      <c r="H22" s="12" t="n"/>
      <c r="I22" s="12" t="n"/>
      <c r="J22" s="12" t="n"/>
      <c r="K22" s="11">
        <f>IFERROR(IF(E22&lt;&gt;"",G22+IF(H22="",0,H22)+IF(I22="",0,I22)+IF(J22="",0,J22),""),"")</f>
        <v/>
      </c>
    </row>
    <row r="23">
      <c r="A23" s="7">
        <f>+A22+1</f>
        <v/>
      </c>
      <c r="B23" s="8" t="n"/>
      <c r="C23" s="9" t="n"/>
      <c r="D23" s="10">
        <f>IFERROR(VLOOKUP(E23,Routes!$A$2:$D$100,3,0),"")</f>
        <v/>
      </c>
      <c r="E23" s="9" t="n"/>
      <c r="F23" s="9" t="n"/>
      <c r="G23" s="11">
        <f>IFERROR(IF(E23&lt;&gt;"",VLOOKUP(E23,Routes!$A$2:$B$100,2,0),""),"")</f>
        <v/>
      </c>
      <c r="H23" s="12" t="n"/>
      <c r="I23" s="12" t="n"/>
      <c r="J23" s="12" t="n"/>
      <c r="K23" s="11">
        <f>IFERROR(IF(E23&lt;&gt;"",G23+IF(H23="",0,H23)+IF(I23="",0,I23)+IF(J23="",0,J23),""),"")</f>
        <v/>
      </c>
    </row>
    <row r="24">
      <c r="A24" s="7">
        <f>+A23+1</f>
        <v/>
      </c>
      <c r="B24" s="8" t="n"/>
      <c r="C24" s="9" t="n"/>
      <c r="D24" s="10">
        <f>IFERROR(VLOOKUP(E24,Routes!$A$2:$D$100,3,0),"")</f>
        <v/>
      </c>
      <c r="E24" s="9" t="n"/>
      <c r="F24" s="9" t="n"/>
      <c r="G24" s="11">
        <f>IFERROR(IF(E24&lt;&gt;"",VLOOKUP(E24,Routes!$A$2:$B$100,2,0),""),"")</f>
        <v/>
      </c>
      <c r="H24" s="12" t="n"/>
      <c r="I24" s="12" t="n"/>
      <c r="J24" s="12" t="n"/>
      <c r="K24" s="11">
        <f>IFERROR(IF(E24&lt;&gt;"",G24+IF(H24="",0,H24)+IF(I24="",0,I24)+IF(J24="",0,J24),""),"")</f>
        <v/>
      </c>
    </row>
    <row r="25">
      <c r="A25" s="7">
        <f>+A24+1</f>
        <v/>
      </c>
      <c r="B25" s="8" t="n"/>
      <c r="C25" s="9" t="n"/>
      <c r="D25" s="10">
        <f>IFERROR(VLOOKUP(E25,Routes!$A$2:$D$100,3,0),"")</f>
        <v/>
      </c>
      <c r="E25" s="9" t="n"/>
      <c r="F25" s="9" t="n"/>
      <c r="G25" s="11">
        <f>IFERROR(IF(E25&lt;&gt;"",VLOOKUP(E25,Routes!$A$2:$B$100,2,0),""),"")</f>
        <v/>
      </c>
      <c r="H25" s="12" t="n"/>
      <c r="I25" s="12" t="n"/>
      <c r="J25" s="12" t="n"/>
      <c r="K25" s="11">
        <f>IFERROR(IF(E25&lt;&gt;"",G25+IF(H25="",0,H25)+IF(I25="",0,I25)+IF(J25="",0,J25),""),"")</f>
        <v/>
      </c>
    </row>
    <row r="26">
      <c r="A26" s="7">
        <f>+A25+1</f>
        <v/>
      </c>
      <c r="B26" s="8" t="n"/>
      <c r="C26" s="9" t="n"/>
      <c r="D26" s="10">
        <f>IFERROR(VLOOKUP(E26,Routes!$A$2:$D$100,3,0),"")</f>
        <v/>
      </c>
      <c r="E26" s="9" t="n"/>
      <c r="F26" s="9" t="n"/>
      <c r="G26" s="11">
        <f>IFERROR(IF(E26&lt;&gt;"",VLOOKUP(E26,Routes!$A$2:$B$100,2,0),""),"")</f>
        <v/>
      </c>
      <c r="H26" s="12" t="n"/>
      <c r="I26" s="12" t="n"/>
      <c r="J26" s="12" t="n"/>
      <c r="K26" s="11">
        <f>IFERROR(IF(E26&lt;&gt;"",G26+IF(H26="",0,H26)+IF(I26="",0,I26)+IF(J26="",0,J26),""),"")</f>
        <v/>
      </c>
    </row>
    <row r="27">
      <c r="A27" s="7">
        <f>+A26+1</f>
        <v/>
      </c>
      <c r="B27" s="8" t="n"/>
      <c r="C27" s="9" t="n"/>
      <c r="D27" s="10">
        <f>IFERROR(VLOOKUP(E27,Routes!$A$2:$D$100,3,0),"")</f>
        <v/>
      </c>
      <c r="E27" s="9" t="n"/>
      <c r="F27" s="9" t="n"/>
      <c r="G27" s="11">
        <f>IFERROR(IF(E27&lt;&gt;"",VLOOKUP(E27,Routes!$A$2:$B$100,2,0),""),"")</f>
        <v/>
      </c>
      <c r="H27" s="12" t="n"/>
      <c r="I27" s="12" t="n"/>
      <c r="J27" s="12" t="n"/>
      <c r="K27" s="11">
        <f>IFERROR(IF(E27&lt;&gt;"",G27+IF(H27="",0,H27)+IF(I27="",0,I27)+IF(J27="",0,J27),""),"")</f>
        <v/>
      </c>
    </row>
    <row r="28">
      <c r="A28" s="7">
        <f>+A27+1</f>
        <v/>
      </c>
      <c r="B28" s="8" t="n"/>
      <c r="C28" s="9" t="n"/>
      <c r="D28" s="10">
        <f>IFERROR(VLOOKUP(E28,Routes!$A$2:$D$100,3,0),"")</f>
        <v/>
      </c>
      <c r="E28" s="9" t="n"/>
      <c r="F28" s="9" t="n"/>
      <c r="G28" s="11">
        <f>IFERROR(IF(E28&lt;&gt;"",VLOOKUP(E28,Routes!$A$2:$B$100,2,0),""),"")</f>
        <v/>
      </c>
      <c r="H28" s="12" t="n"/>
      <c r="I28" s="12" t="n"/>
      <c r="J28" s="12" t="n"/>
      <c r="K28" s="11">
        <f>IFERROR(IF(E28&lt;&gt;"",G28+IF(H28="",0,H28)+IF(I28="",0,I28)+IF(J28="",0,J28),""),"")</f>
        <v/>
      </c>
    </row>
    <row r="29">
      <c r="A29" s="7">
        <f>+A28+1</f>
        <v/>
      </c>
      <c r="B29" s="8" t="n"/>
      <c r="C29" s="9" t="n"/>
      <c r="D29" s="10">
        <f>IFERROR(VLOOKUP(E29,Routes!$A$2:$D$100,3,0),"")</f>
        <v/>
      </c>
      <c r="E29" s="9" t="n"/>
      <c r="F29" s="9" t="n"/>
      <c r="G29" s="11">
        <f>IFERROR(IF(E29&lt;&gt;"",VLOOKUP(E29,Routes!$A$2:$B$100,2,0),""),"")</f>
        <v/>
      </c>
      <c r="H29" s="12" t="n"/>
      <c r="I29" s="12" t="n"/>
      <c r="J29" s="12" t="n"/>
      <c r="K29" s="11">
        <f>IFERROR(IF(E29&lt;&gt;"",G29+IF(H29="",0,H29)+IF(I29="",0,I29)+IF(J29="",0,J29),""),"")</f>
        <v/>
      </c>
    </row>
    <row r="30">
      <c r="A30" s="7">
        <f>+A29+1</f>
        <v/>
      </c>
      <c r="B30" s="8" t="n"/>
      <c r="C30" s="9" t="n"/>
      <c r="D30" s="10">
        <f>IFERROR(VLOOKUP(E30,Routes!$A$2:$D$100,3,0),"")</f>
        <v/>
      </c>
      <c r="E30" s="9" t="n"/>
      <c r="F30" s="9" t="n"/>
      <c r="G30" s="11">
        <f>IFERROR(IF(E30&lt;&gt;"",VLOOKUP(E30,Routes!$A$2:$B$100,2,0),""),"")</f>
        <v/>
      </c>
      <c r="H30" s="12" t="n"/>
      <c r="I30" s="12" t="n"/>
      <c r="J30" s="12" t="n"/>
      <c r="K30" s="11">
        <f>IFERROR(IF(E30&lt;&gt;"",G30+IF(H30="",0,H30)+IF(I30="",0,I30)+IF(J30="",0,J30),""),"")</f>
        <v/>
      </c>
    </row>
    <row r="31">
      <c r="A31" s="7">
        <f>+A30+1</f>
        <v/>
      </c>
      <c r="B31" s="8" t="n"/>
      <c r="C31" s="9" t="n"/>
      <c r="D31" s="10">
        <f>IFERROR(VLOOKUP(E31,Routes!$A$2:$D$100,3,0),"")</f>
        <v/>
      </c>
      <c r="E31" s="9" t="n"/>
      <c r="F31" s="9" t="n"/>
      <c r="G31" s="11">
        <f>IFERROR(IF(E31&lt;&gt;"",VLOOKUP(E31,Routes!$A$2:$B$100,2,0),""),"")</f>
        <v/>
      </c>
      <c r="H31" s="12" t="n"/>
      <c r="I31" s="12" t="n"/>
      <c r="J31" s="12" t="n"/>
      <c r="K31" s="11">
        <f>IFERROR(IF(E31&lt;&gt;"",G31+IF(H31="",0,H31)+IF(I31="",0,I31)+IF(J31="",0,J31),""),"")</f>
        <v/>
      </c>
    </row>
    <row r="32">
      <c r="A32" s="7">
        <f>+A31+1</f>
        <v/>
      </c>
      <c r="B32" s="8" t="n"/>
      <c r="C32" s="9" t="n"/>
      <c r="D32" s="10">
        <f>IFERROR(VLOOKUP(E32,Routes!$A$2:$D$100,3,0),"")</f>
        <v/>
      </c>
      <c r="E32" s="9" t="n"/>
      <c r="F32" s="9" t="n"/>
      <c r="G32" s="11">
        <f>IFERROR(IF(E32&lt;&gt;"",VLOOKUP(E32,Routes!$A$2:$B$100,2,0),""),"")</f>
        <v/>
      </c>
      <c r="H32" s="12" t="n"/>
      <c r="I32" s="12" t="n"/>
      <c r="J32" s="12" t="n"/>
      <c r="K32" s="11">
        <f>IFERROR(IF(E32&lt;&gt;"",G32+IF(H32="",0,H32)+IF(I32="",0,I32)+IF(J32="",0,J32),""),"")</f>
        <v/>
      </c>
    </row>
    <row r="33">
      <c r="A33" s="7">
        <f>+A32+1</f>
        <v/>
      </c>
      <c r="B33" s="8" t="n"/>
      <c r="C33" s="9" t="n"/>
      <c r="D33" s="10">
        <f>IFERROR(VLOOKUP(E33,Routes!$A$2:$D$100,3,0),"")</f>
        <v/>
      </c>
      <c r="E33" s="9" t="n"/>
      <c r="F33" s="9" t="n"/>
      <c r="G33" s="11">
        <f>IFERROR(IF(E33&lt;&gt;"",VLOOKUP(E33,Routes!$A$2:$B$100,2,0),""),"")</f>
        <v/>
      </c>
      <c r="H33" s="12" t="n"/>
      <c r="I33" s="12" t="n"/>
      <c r="J33" s="12" t="n"/>
      <c r="K33" s="11">
        <f>IFERROR(IF(E33&lt;&gt;"",G33+IF(H33="",0,H33)+IF(I33="",0,I33)+IF(J33="",0,J33),""),"")</f>
        <v/>
      </c>
    </row>
    <row r="34">
      <c r="A34" s="7">
        <f>+A33+1</f>
        <v/>
      </c>
      <c r="B34" s="8" t="n"/>
      <c r="C34" s="9" t="n"/>
      <c r="D34" s="10">
        <f>IFERROR(VLOOKUP(E34,Routes!$A$2:$D$100,3,0),"")</f>
        <v/>
      </c>
      <c r="E34" s="9" t="n"/>
      <c r="F34" s="9" t="n"/>
      <c r="G34" s="11">
        <f>IFERROR(IF(E34&lt;&gt;"",VLOOKUP(E34,Routes!$A$2:$B$100,2,0),""),"")</f>
        <v/>
      </c>
      <c r="H34" s="12" t="n"/>
      <c r="I34" s="12" t="n"/>
      <c r="J34" s="12" t="n"/>
      <c r="K34" s="11">
        <f>IFERROR(IF(E34&lt;&gt;"",G34+IF(H34="",0,H34)+IF(I34="",0,I34)+IF(J34="",0,J34),""),"")</f>
        <v/>
      </c>
    </row>
    <row r="35">
      <c r="A35" s="7">
        <f>+A34+1</f>
        <v/>
      </c>
      <c r="B35" s="8" t="n"/>
      <c r="C35" s="9" t="n"/>
      <c r="D35" s="10">
        <f>IFERROR(VLOOKUP(E35,Routes!$A$2:$D$100,3,0),"")</f>
        <v/>
      </c>
      <c r="E35" s="9" t="n"/>
      <c r="F35" s="9" t="n"/>
      <c r="G35" s="11">
        <f>IFERROR(IF(E35&lt;&gt;"",VLOOKUP(E35,Routes!$A$2:$B$100,2,0),""),"")</f>
        <v/>
      </c>
      <c r="H35" s="12" t="n"/>
      <c r="I35" s="12" t="n"/>
      <c r="J35" s="12" t="n"/>
      <c r="K35" s="11">
        <f>IFERROR(IF(E35&lt;&gt;"",G35+IF(H35="",0,H35)+IF(I35="",0,I35)+IF(J35="",0,J35),""),"")</f>
        <v/>
      </c>
    </row>
    <row r="36">
      <c r="A36" s="7">
        <f>+A35+1</f>
        <v/>
      </c>
      <c r="B36" s="8" t="n"/>
      <c r="C36" s="9" t="n"/>
      <c r="D36" s="10">
        <f>IFERROR(VLOOKUP(E36,Routes!$A$2:$D$100,3,0),"")</f>
        <v/>
      </c>
      <c r="E36" s="9" t="n"/>
      <c r="F36" s="9" t="n"/>
      <c r="G36" s="11">
        <f>IFERROR(IF(E36&lt;&gt;"",VLOOKUP(E36,Routes!$A$2:$B$100,2,0),""),"")</f>
        <v/>
      </c>
      <c r="H36" s="12" t="n"/>
      <c r="I36" s="12" t="n"/>
      <c r="J36" s="12" t="n"/>
      <c r="K36" s="11">
        <f>IFERROR(IF(E36&lt;&gt;"",G36+IF(H36="",0,H36)+IF(I36="",0,I36)+IF(J36="",0,J36),""),"")</f>
        <v/>
      </c>
    </row>
    <row r="37">
      <c r="A37" s="7">
        <f>+A36+1</f>
        <v/>
      </c>
      <c r="B37" s="8" t="n"/>
      <c r="C37" s="9" t="n"/>
      <c r="D37" s="10">
        <f>IFERROR(VLOOKUP(E37,Routes!$A$2:$D$100,3,0),"")</f>
        <v/>
      </c>
      <c r="E37" s="9" t="n"/>
      <c r="F37" s="9" t="n"/>
      <c r="G37" s="11">
        <f>IFERROR(IF(E37&lt;&gt;"",VLOOKUP(E37,Routes!$A$2:$B$100,2,0),""),"")</f>
        <v/>
      </c>
      <c r="H37" s="12" t="n"/>
      <c r="I37" s="12" t="n"/>
      <c r="J37" s="12" t="n"/>
      <c r="K37" s="11">
        <f>IFERROR(IF(E37&lt;&gt;"",G37+IF(H37="",0,H37)+IF(I37="",0,I37)+IF(J37="",0,J37),""),"")</f>
        <v/>
      </c>
    </row>
    <row r="38">
      <c r="A38" s="7">
        <f>+A37+1</f>
        <v/>
      </c>
      <c r="B38" s="8" t="n"/>
      <c r="C38" s="9" t="n"/>
      <c r="D38" s="10">
        <f>IFERROR(VLOOKUP(E38,Routes!$A$2:$D$100,3,0),"")</f>
        <v/>
      </c>
      <c r="E38" s="9" t="n"/>
      <c r="F38" s="9" t="n"/>
      <c r="G38" s="11">
        <f>IFERROR(IF(E38&lt;&gt;"",VLOOKUP(E38,Routes!$A$2:$B$100,2,0),""),"")</f>
        <v/>
      </c>
      <c r="H38" s="12" t="n"/>
      <c r="I38" s="12" t="n"/>
      <c r="J38" s="12" t="n"/>
      <c r="K38" s="11">
        <f>IFERROR(IF(E38&lt;&gt;"",G38+IF(H38="",0,H38)+IF(I38="",0,I38)+IF(J38="",0,J38),""),"")</f>
        <v/>
      </c>
    </row>
    <row r="39">
      <c r="A39" s="7">
        <f>+A38+1</f>
        <v/>
      </c>
      <c r="B39" s="8" t="n"/>
      <c r="C39" s="9" t="n"/>
      <c r="D39" s="10">
        <f>IFERROR(VLOOKUP(E39,Routes!$A$2:$D$100,3,0),"")</f>
        <v/>
      </c>
      <c r="E39" s="9" t="n"/>
      <c r="F39" s="9" t="n"/>
      <c r="G39" s="11">
        <f>IFERROR(IF(E39&lt;&gt;"",VLOOKUP(E39,Routes!$A$2:$B$100,2,0),""),"")</f>
        <v/>
      </c>
      <c r="H39" s="12" t="n"/>
      <c r="I39" s="12" t="n"/>
      <c r="J39" s="12" t="n"/>
      <c r="K39" s="11">
        <f>IFERROR(IF(E39&lt;&gt;"",G39+IF(H39="",0,H39)+IF(I39="",0,I39)+IF(J39="",0,J39),""),"")</f>
        <v/>
      </c>
    </row>
    <row r="40">
      <c r="A40" s="7">
        <f>+A39+1</f>
        <v/>
      </c>
      <c r="B40" s="8" t="n"/>
      <c r="C40" s="9" t="n"/>
      <c r="D40" s="10">
        <f>IFERROR(VLOOKUP(E40,Routes!$A$2:$D$100,3,0),"")</f>
        <v/>
      </c>
      <c r="E40" s="9" t="n"/>
      <c r="F40" s="9" t="n"/>
      <c r="G40" s="11">
        <f>IFERROR(IF(E40&lt;&gt;"",VLOOKUP(E40,Routes!$A$2:$B$100,2,0),""),"")</f>
        <v/>
      </c>
      <c r="H40" s="12" t="n"/>
      <c r="I40" s="12" t="n"/>
      <c r="J40" s="12" t="n"/>
      <c r="K40" s="11">
        <f>IFERROR(IF(E40&lt;&gt;"",G40+IF(H40="",0,H40)+IF(I40="",0,I40)+IF(J40="",0,J40),""),"")</f>
        <v/>
      </c>
    </row>
    <row r="41">
      <c r="A41" s="7">
        <f>+A40+1</f>
        <v/>
      </c>
      <c r="B41" s="8" t="n"/>
      <c r="C41" s="9" t="n"/>
      <c r="D41" s="10">
        <f>IFERROR(VLOOKUP(E41,Routes!$A$2:$D$100,3,0),"")</f>
        <v/>
      </c>
      <c r="E41" s="9" t="n"/>
      <c r="F41" s="9" t="n"/>
      <c r="G41" s="11">
        <f>IFERROR(IF(E41&lt;&gt;"",VLOOKUP(E41,Routes!$A$2:$B$100,2,0),""),"")</f>
        <v/>
      </c>
      <c r="H41" s="12" t="n"/>
      <c r="I41" s="12" t="n"/>
      <c r="J41" s="12" t="n"/>
      <c r="K41" s="11">
        <f>IFERROR(IF(E41&lt;&gt;"",G41+IF(H41="",0,H41)+IF(I41="",0,I41)+IF(J41="",0,J41),""),"")</f>
        <v/>
      </c>
    </row>
    <row r="42">
      <c r="A42" s="7">
        <f>+A41+1</f>
        <v/>
      </c>
      <c r="B42" s="8" t="n"/>
      <c r="C42" s="9" t="n"/>
      <c r="D42" s="10">
        <f>IFERROR(VLOOKUP(E42,Routes!$A$2:$D$100,3,0),"")</f>
        <v/>
      </c>
      <c r="E42" s="9" t="n"/>
      <c r="F42" s="9" t="n"/>
      <c r="G42" s="11">
        <f>IFERROR(IF(E42&lt;&gt;"",VLOOKUP(E42,Routes!$A$2:$B$100,2,0),""),"")</f>
        <v/>
      </c>
      <c r="H42" s="12" t="n"/>
      <c r="I42" s="12" t="n"/>
      <c r="J42" s="12" t="n"/>
      <c r="K42" s="11">
        <f>IFERROR(IF(E42&lt;&gt;"",G42+IF(H42="",0,H42)+IF(I42="",0,I42)+IF(J42="",0,J42),""),"")</f>
        <v/>
      </c>
    </row>
    <row r="43">
      <c r="A43" s="7">
        <f>+A42+1</f>
        <v/>
      </c>
      <c r="B43" s="8" t="n"/>
      <c r="C43" s="9" t="n"/>
      <c r="D43" s="10">
        <f>IFERROR(VLOOKUP(E43,Routes!$A$2:$D$100,3,0),"")</f>
        <v/>
      </c>
      <c r="E43" s="9" t="n"/>
      <c r="F43" s="9" t="n"/>
      <c r="G43" s="11">
        <f>IFERROR(IF(E43&lt;&gt;"",VLOOKUP(E43,Routes!$A$2:$B$100,2,0),""),"")</f>
        <v/>
      </c>
      <c r="H43" s="12" t="n"/>
      <c r="I43" s="12" t="n"/>
      <c r="J43" s="12" t="n"/>
      <c r="K43" s="11">
        <f>IFERROR(IF(E43&lt;&gt;"",G43+IF(H43="",0,H43)+IF(I43="",0,I43)+IF(J43="",0,J43),""),"")</f>
        <v/>
      </c>
    </row>
    <row r="44">
      <c r="A44" s="7">
        <f>+A43+1</f>
        <v/>
      </c>
      <c r="B44" s="8" t="n"/>
      <c r="C44" s="9" t="n"/>
      <c r="D44" s="10">
        <f>IFERROR(VLOOKUP(E44,Routes!$A$2:$D$100,3,0),"")</f>
        <v/>
      </c>
      <c r="E44" s="9" t="n"/>
      <c r="F44" s="9" t="n"/>
      <c r="G44" s="11">
        <f>IFERROR(IF(E44&lt;&gt;"",VLOOKUP(E44,Routes!$A$2:$B$100,2,0),""),"")</f>
        <v/>
      </c>
      <c r="H44" s="12" t="n"/>
      <c r="I44" s="12" t="n"/>
      <c r="J44" s="12" t="n"/>
      <c r="K44" s="11">
        <f>IFERROR(IF(E44&lt;&gt;"",G44+IF(H44="",0,H44)+IF(I44="",0,I44)+IF(J44="",0,J44),""),"")</f>
        <v/>
      </c>
    </row>
    <row r="45">
      <c r="A45" s="7">
        <f>+A44+1</f>
        <v/>
      </c>
      <c r="B45" s="8" t="n"/>
      <c r="C45" s="9" t="n"/>
      <c r="D45" s="10">
        <f>IFERROR(VLOOKUP(E45,Routes!$A$2:$D$100,3,0),"")</f>
        <v/>
      </c>
      <c r="E45" s="9" t="n"/>
      <c r="F45" s="9" t="n"/>
      <c r="G45" s="11">
        <f>IFERROR(IF(E45&lt;&gt;"",VLOOKUP(E45,Routes!$A$2:$B$100,2,0),""),"")</f>
        <v/>
      </c>
      <c r="H45" s="12" t="n"/>
      <c r="I45" s="12" t="n"/>
      <c r="J45" s="12" t="n"/>
      <c r="K45" s="11">
        <f>IFERROR(IF(E45&lt;&gt;"",G45+IF(H45="",0,H45)+IF(I45="",0,I45)+IF(J45="",0,J45),""),"")</f>
        <v/>
      </c>
    </row>
    <row r="46">
      <c r="A46" s="7">
        <f>+A45+1</f>
        <v/>
      </c>
      <c r="B46" s="8" t="n"/>
      <c r="C46" s="9" t="n"/>
      <c r="D46" s="10">
        <f>IFERROR(VLOOKUP(E46,Routes!$A$2:$D$100,3,0),"")</f>
        <v/>
      </c>
      <c r="E46" s="9" t="n"/>
      <c r="F46" s="9" t="n"/>
      <c r="G46" s="11">
        <f>IFERROR(IF(E46&lt;&gt;"",VLOOKUP(E46,Routes!$A$2:$B$100,2,0),""),"")</f>
        <v/>
      </c>
      <c r="H46" s="12" t="n"/>
      <c r="I46" s="12" t="n"/>
      <c r="J46" s="12" t="n"/>
      <c r="K46" s="11">
        <f>IFERROR(IF(E46&lt;&gt;"",G46+IF(H46="",0,H46)+IF(I46="",0,I46)+IF(J46="",0,J46),""),"")</f>
        <v/>
      </c>
    </row>
    <row r="47">
      <c r="A47" s="7">
        <f>+A46+1</f>
        <v/>
      </c>
      <c r="B47" s="8" t="n"/>
      <c r="C47" s="9" t="n"/>
      <c r="D47" s="10">
        <f>IFERROR(VLOOKUP(E47,Routes!$A$2:$D$100,3,0),"")</f>
        <v/>
      </c>
      <c r="E47" s="9" t="n"/>
      <c r="F47" s="9" t="n"/>
      <c r="G47" s="11">
        <f>IFERROR(IF(E47&lt;&gt;"",VLOOKUP(E47,Routes!$A$2:$B$100,2,0),""),"")</f>
        <v/>
      </c>
      <c r="H47" s="12" t="n"/>
      <c r="I47" s="12" t="n"/>
      <c r="J47" s="12" t="n"/>
      <c r="K47" s="11">
        <f>IFERROR(IF(E47&lt;&gt;"",G47+IF(H47="",0,H47)+IF(I47="",0,I47)+IF(J47="",0,J47),""),"")</f>
        <v/>
      </c>
    </row>
    <row r="48">
      <c r="A48" s="7">
        <f>+A47+1</f>
        <v/>
      </c>
      <c r="B48" s="8" t="n"/>
      <c r="C48" s="9" t="n"/>
      <c r="D48" s="10">
        <f>IFERROR(VLOOKUP(E48,Routes!$A$2:$D$100,3,0),"")</f>
        <v/>
      </c>
      <c r="E48" s="9" t="n"/>
      <c r="F48" s="9" t="n"/>
      <c r="G48" s="11">
        <f>IFERROR(IF(E48&lt;&gt;"",VLOOKUP(E48,Routes!$A$2:$B$100,2,0),""),"")</f>
        <v/>
      </c>
      <c r="H48" s="12" t="n"/>
      <c r="I48" s="12" t="n"/>
      <c r="J48" s="12" t="n"/>
      <c r="K48" s="11">
        <f>IFERROR(IF(E48&lt;&gt;"",G48+IF(H48="",0,H48)+IF(I48="",0,I48)+IF(J48="",0,J48),""),"")</f>
        <v/>
      </c>
    </row>
    <row r="49">
      <c r="A49" s="7">
        <f>+A48+1</f>
        <v/>
      </c>
      <c r="B49" s="8" t="n"/>
      <c r="C49" s="9" t="n"/>
      <c r="D49" s="10">
        <f>IFERROR(VLOOKUP(E49,Routes!$A$2:$D$100,3,0),"")</f>
        <v/>
      </c>
      <c r="E49" s="9" t="n"/>
      <c r="F49" s="9" t="n"/>
      <c r="G49" s="11">
        <f>IFERROR(IF(E49&lt;&gt;"",VLOOKUP(E49,Routes!$A$2:$B$100,2,0),""),"")</f>
        <v/>
      </c>
      <c r="H49" s="12" t="n"/>
      <c r="I49" s="12" t="n"/>
      <c r="J49" s="12" t="n"/>
      <c r="K49" s="11">
        <f>IFERROR(IF(E49&lt;&gt;"",G49+IF(H49="",0,H49)+IF(I49="",0,I49)+IF(J49="",0,J49),""),"")</f>
        <v/>
      </c>
    </row>
    <row r="50">
      <c r="A50" s="7">
        <f>+A49+1</f>
        <v/>
      </c>
      <c r="B50" s="8" t="n"/>
      <c r="C50" s="9" t="n"/>
      <c r="D50" s="10">
        <f>IFERROR(VLOOKUP(E50,Routes!$A$2:$D$100,3,0),"")</f>
        <v/>
      </c>
      <c r="E50" s="9" t="n"/>
      <c r="F50" s="9" t="n"/>
      <c r="G50" s="11">
        <f>IFERROR(IF(E50&lt;&gt;"",VLOOKUP(E50,Routes!$A$2:$B$100,2,0),""),"")</f>
        <v/>
      </c>
      <c r="H50" s="12" t="n"/>
      <c r="I50" s="12" t="n"/>
      <c r="J50" s="12" t="n"/>
      <c r="K50" s="11">
        <f>IFERROR(IF(E50&lt;&gt;"",G50+IF(H50="",0,H50)+IF(I50="",0,I50)+IF(J50="",0,J50),""),"")</f>
        <v/>
      </c>
    </row>
    <row r="51">
      <c r="A51" s="7">
        <f>+A50+1</f>
        <v/>
      </c>
      <c r="B51" s="8" t="n"/>
      <c r="C51" s="9" t="n"/>
      <c r="D51" s="10">
        <f>IFERROR(VLOOKUP(E51,Routes!$A$2:$D$100,3,0),"")</f>
        <v/>
      </c>
      <c r="E51" s="9" t="n"/>
      <c r="F51" s="9" t="n"/>
      <c r="G51" s="11">
        <f>IFERROR(IF(E51&lt;&gt;"",VLOOKUP(E51,Routes!$A$2:$B$100,2,0),""),"")</f>
        <v/>
      </c>
      <c r="H51" s="12" t="n"/>
      <c r="I51" s="12" t="n"/>
      <c r="J51" s="12" t="n"/>
      <c r="K51" s="11">
        <f>IFERROR(IF(E51&lt;&gt;"",G51+IF(H51="",0,H51)+IF(I51="",0,I51)+IF(J51="",0,J51),""),"")</f>
        <v/>
      </c>
    </row>
    <row r="52">
      <c r="A52" s="7">
        <f>+A51+1</f>
        <v/>
      </c>
      <c r="B52" s="8" t="n"/>
      <c r="C52" s="9" t="n"/>
      <c r="D52" s="10">
        <f>IFERROR(VLOOKUP(E52,Routes!$A$2:$D$100,3,0),"")</f>
        <v/>
      </c>
      <c r="E52" s="9" t="n"/>
      <c r="F52" s="9" t="n"/>
      <c r="G52" s="11">
        <f>IFERROR(IF(E52&lt;&gt;"",VLOOKUP(E52,Routes!$A$2:$B$100,2,0),""),"")</f>
        <v/>
      </c>
      <c r="H52" s="12" t="n"/>
      <c r="I52" s="12" t="n"/>
      <c r="J52" s="12" t="n"/>
      <c r="K52" s="11">
        <f>IFERROR(IF(E52&lt;&gt;"",G52+IF(H52="",0,H52)+IF(I52="",0,I52)+IF(J52="",0,J52),""),"")</f>
        <v/>
      </c>
    </row>
    <row r="53">
      <c r="A53" s="7">
        <f>+A52+1</f>
        <v/>
      </c>
      <c r="B53" s="8" t="n"/>
      <c r="C53" s="9" t="n"/>
      <c r="D53" s="10">
        <f>IFERROR(VLOOKUP(E53,Routes!$A$2:$D$100,3,0),"")</f>
        <v/>
      </c>
      <c r="E53" s="9" t="n"/>
      <c r="F53" s="9" t="n"/>
      <c r="G53" s="11">
        <f>IFERROR(IF(E53&lt;&gt;"",VLOOKUP(E53,Routes!$A$2:$B$100,2,0),""),"")</f>
        <v/>
      </c>
      <c r="H53" s="12" t="n"/>
      <c r="I53" s="12" t="n"/>
      <c r="J53" s="12" t="n"/>
      <c r="K53" s="11">
        <f>IFERROR(IF(E53&lt;&gt;"",G53+IF(H53="",0,H53)+IF(I53="",0,I53)+IF(J53="",0,J53),""),"")</f>
        <v/>
      </c>
    </row>
    <row r="54">
      <c r="A54" s="7">
        <f>+A53+1</f>
        <v/>
      </c>
      <c r="B54" s="8" t="n"/>
      <c r="C54" s="9" t="n"/>
      <c r="D54" s="10">
        <f>IFERROR(VLOOKUP(E54,Routes!$A$2:$D$100,3,0),"")</f>
        <v/>
      </c>
      <c r="E54" s="9" t="n"/>
      <c r="F54" s="9" t="n"/>
      <c r="G54" s="11">
        <f>IFERROR(IF(E54&lt;&gt;"",VLOOKUP(E54,Routes!$A$2:$B$100,2,0),""),"")</f>
        <v/>
      </c>
      <c r="H54" s="12" t="n"/>
      <c r="I54" s="12" t="n"/>
      <c r="J54" s="12" t="n"/>
      <c r="K54" s="11">
        <f>IFERROR(IF(E54&lt;&gt;"",G54+IF(H54="",0,H54)+IF(I54="",0,I54)+IF(J54="",0,J54),""),"")</f>
        <v/>
      </c>
    </row>
    <row r="55">
      <c r="A55" s="7">
        <f>+A54+1</f>
        <v/>
      </c>
      <c r="B55" s="8" t="n"/>
      <c r="C55" s="9" t="n"/>
      <c r="D55" s="10">
        <f>IFERROR(VLOOKUP(E55,Routes!$A$2:$D$100,3,0),"")</f>
        <v/>
      </c>
      <c r="E55" s="9" t="n"/>
      <c r="F55" s="9" t="n"/>
      <c r="G55" s="11">
        <f>IFERROR(IF(E55&lt;&gt;"",VLOOKUP(E55,Routes!$A$2:$B$100,2,0),""),"")</f>
        <v/>
      </c>
      <c r="H55" s="12" t="n"/>
      <c r="I55" s="12" t="n"/>
      <c r="J55" s="12" t="n"/>
      <c r="K55" s="11">
        <f>IFERROR(IF(E55&lt;&gt;"",G55+IF(H55="",0,H55)+IF(I55="",0,I55)+IF(J55="",0,J55),""),"")</f>
        <v/>
      </c>
    </row>
    <row r="56">
      <c r="A56" s="7">
        <f>+A55+1</f>
        <v/>
      </c>
      <c r="B56" s="8" t="n"/>
      <c r="C56" s="9" t="n"/>
      <c r="D56" s="10">
        <f>IFERROR(VLOOKUP(E56,Routes!$A$2:$D$100,3,0),"")</f>
        <v/>
      </c>
      <c r="E56" s="9" t="n"/>
      <c r="F56" s="9" t="n"/>
      <c r="G56" s="11">
        <f>IFERROR(IF(E56&lt;&gt;"",VLOOKUP(E56,Routes!$A$2:$B$100,2,0),""),"")</f>
        <v/>
      </c>
      <c r="H56" s="12" t="n"/>
      <c r="I56" s="12" t="n"/>
      <c r="J56" s="12" t="n"/>
      <c r="K56" s="11">
        <f>IFERROR(IF(E56&lt;&gt;"",G56+IF(H56="",0,H56)+IF(I56="",0,I56)+IF(J56="",0,J56),""),"")</f>
        <v/>
      </c>
    </row>
    <row r="57">
      <c r="A57" s="7">
        <f>+A56+1</f>
        <v/>
      </c>
      <c r="B57" s="8" t="n"/>
      <c r="C57" s="9" t="n"/>
      <c r="D57" s="10">
        <f>IFERROR(VLOOKUP(E57,Routes!$A$2:$D$100,3,0),"")</f>
        <v/>
      </c>
      <c r="E57" s="9" t="n"/>
      <c r="F57" s="9" t="n"/>
      <c r="G57" s="11">
        <f>IFERROR(IF(E57&lt;&gt;"",VLOOKUP(E57,Routes!$A$2:$B$100,2,0),""),"")</f>
        <v/>
      </c>
      <c r="H57" s="12" t="n"/>
      <c r="I57" s="12" t="n"/>
      <c r="J57" s="12" t="n"/>
      <c r="K57" s="11">
        <f>IFERROR(IF(E57&lt;&gt;"",G57+IF(H57="",0,H57)+IF(I57="",0,I57)+IF(J57="",0,J57),""),"")</f>
        <v/>
      </c>
    </row>
    <row r="58">
      <c r="A58" s="7">
        <f>+A57+1</f>
        <v/>
      </c>
      <c r="B58" s="8" t="n"/>
      <c r="C58" s="9" t="n"/>
      <c r="D58" s="10">
        <f>IFERROR(VLOOKUP(E58,Routes!$A$2:$D$100,3,0),"")</f>
        <v/>
      </c>
      <c r="E58" s="9" t="n"/>
      <c r="F58" s="9" t="n"/>
      <c r="G58" s="11">
        <f>IFERROR(IF(E58&lt;&gt;"",VLOOKUP(E58,Routes!$A$2:$B$100,2,0),""),"")</f>
        <v/>
      </c>
      <c r="H58" s="12" t="n"/>
      <c r="I58" s="12" t="n"/>
      <c r="J58" s="12" t="n"/>
      <c r="K58" s="11">
        <f>IFERROR(IF(E58&lt;&gt;"",G58+IF(H58="",0,H58)+IF(I58="",0,I58)+IF(J58="",0,J58),""),"")</f>
        <v/>
      </c>
    </row>
    <row r="59">
      <c r="A59" s="7">
        <f>+A58+1</f>
        <v/>
      </c>
      <c r="B59" s="8" t="n"/>
      <c r="C59" s="9" t="n"/>
      <c r="D59" s="10">
        <f>IFERROR(VLOOKUP(E59,Routes!$A$2:$D$100,3,0),"")</f>
        <v/>
      </c>
      <c r="E59" s="9" t="n"/>
      <c r="F59" s="9" t="n"/>
      <c r="G59" s="11">
        <f>IFERROR(IF(E59&lt;&gt;"",VLOOKUP(E59,Routes!$A$2:$B$100,2,0),""),"")</f>
        <v/>
      </c>
      <c r="H59" s="12" t="n"/>
      <c r="I59" s="12" t="n"/>
      <c r="J59" s="12" t="n"/>
      <c r="K59" s="11">
        <f>IFERROR(IF(E59&lt;&gt;"",G59+IF(H59="",0,H59)+IF(I59="",0,I59)+IF(J59="",0,J59),""),"")</f>
        <v/>
      </c>
    </row>
    <row r="60">
      <c r="A60" s="7">
        <f>+A59+1</f>
        <v/>
      </c>
      <c r="B60" s="8" t="n"/>
      <c r="C60" s="9" t="n"/>
      <c r="D60" s="10">
        <f>IFERROR(VLOOKUP(E60,Routes!$A$2:$D$100,3,0),"")</f>
        <v/>
      </c>
      <c r="E60" s="9" t="n"/>
      <c r="F60" s="9" t="n"/>
      <c r="G60" s="11">
        <f>IFERROR(IF(E60&lt;&gt;"",VLOOKUP(E60,Routes!$A$2:$B$100,2,0),""),"")</f>
        <v/>
      </c>
      <c r="H60" s="12" t="n"/>
      <c r="I60" s="12" t="n"/>
      <c r="J60" s="12" t="n"/>
      <c r="K60" s="11">
        <f>IFERROR(IF(E60&lt;&gt;"",G60+IF(H60="",0,H60)+IF(I60="",0,I60)+IF(J60="",0,J60),""),"")</f>
        <v/>
      </c>
    </row>
    <row r="61">
      <c r="A61" s="7">
        <f>+A60+1</f>
        <v/>
      </c>
      <c r="B61" s="8" t="n"/>
      <c r="C61" s="9" t="n"/>
      <c r="D61" s="10">
        <f>IFERROR(VLOOKUP(E61,Routes!$A$2:$D$100,3,0),"")</f>
        <v/>
      </c>
      <c r="E61" s="9" t="n"/>
      <c r="F61" s="9" t="n"/>
      <c r="G61" s="11">
        <f>IFERROR(IF(E61&lt;&gt;"",VLOOKUP(E61,Routes!$A$2:$B$100,2,0),""),"")</f>
        <v/>
      </c>
      <c r="H61" s="12" t="n"/>
      <c r="I61" s="12" t="n"/>
      <c r="J61" s="12" t="n"/>
      <c r="K61" s="11">
        <f>IFERROR(IF(E61&lt;&gt;"",G61+IF(H61="",0,H61)+IF(I61="",0,I61)+IF(J61="",0,J61),""),"")</f>
        <v/>
      </c>
    </row>
    <row r="62">
      <c r="A62" s="7">
        <f>+A61+1</f>
        <v/>
      </c>
      <c r="B62" s="8" t="n"/>
      <c r="C62" s="9" t="n"/>
      <c r="D62" s="10">
        <f>IFERROR(VLOOKUP(E62,Routes!$A$2:$D$100,3,0),"")</f>
        <v/>
      </c>
      <c r="E62" s="9" t="n"/>
      <c r="F62" s="9" t="n"/>
      <c r="G62" s="11">
        <f>IFERROR(IF(E62&lt;&gt;"",VLOOKUP(E62,Routes!$A$2:$B$100,2,0),""),"")</f>
        <v/>
      </c>
      <c r="H62" s="12" t="n"/>
      <c r="I62" s="12" t="n"/>
      <c r="J62" s="12" t="n"/>
      <c r="K62" s="11">
        <f>IFERROR(IF(E62&lt;&gt;"",G62+IF(H62="",0,H62)+IF(I62="",0,I62)+IF(J62="",0,J62),""),"")</f>
        <v/>
      </c>
    </row>
    <row r="63">
      <c r="A63" s="7">
        <f>+A62+1</f>
        <v/>
      </c>
      <c r="B63" s="8" t="n"/>
      <c r="C63" s="9" t="n"/>
      <c r="D63" s="10">
        <f>IFERROR(VLOOKUP(E63,Routes!$A$2:$D$100,3,0),"")</f>
        <v/>
      </c>
      <c r="E63" s="9" t="n"/>
      <c r="F63" s="9" t="n"/>
      <c r="G63" s="11">
        <f>IFERROR(IF(E63&lt;&gt;"",VLOOKUP(E63,Routes!$A$2:$B$100,2,0),""),"")</f>
        <v/>
      </c>
      <c r="H63" s="12" t="n"/>
      <c r="I63" s="12" t="n"/>
      <c r="J63" s="12" t="n"/>
      <c r="K63" s="11">
        <f>IFERROR(IF(E63&lt;&gt;"",G63+IF(H63="",0,H63)+IF(I63="",0,I63)+IF(J63="",0,J63),""),"")</f>
        <v/>
      </c>
    </row>
    <row r="64">
      <c r="A64" s="7">
        <f>+A63+1</f>
        <v/>
      </c>
      <c r="B64" s="8" t="n"/>
      <c r="C64" s="9" t="n"/>
      <c r="D64" s="10">
        <f>IFERROR(VLOOKUP(E64,Routes!$A$2:$D$100,3,0),"")</f>
        <v/>
      </c>
      <c r="E64" s="9" t="n"/>
      <c r="F64" s="9" t="n"/>
      <c r="G64" s="11">
        <f>IFERROR(IF(E64&lt;&gt;"",VLOOKUP(E64,Routes!$A$2:$B$100,2,0),""),"")</f>
        <v/>
      </c>
      <c r="H64" s="12" t="n"/>
      <c r="I64" s="12" t="n"/>
      <c r="J64" s="12" t="n"/>
      <c r="K64" s="11">
        <f>IFERROR(IF(E64&lt;&gt;"",G64+IF(H64="",0,H64)+IF(I64="",0,I64)+IF(J64="",0,J64),""),"")</f>
        <v/>
      </c>
    </row>
    <row r="65">
      <c r="A65" s="7">
        <f>+A64+1</f>
        <v/>
      </c>
      <c r="B65" s="8" t="n"/>
      <c r="C65" s="9" t="n"/>
      <c r="D65" s="10">
        <f>IFERROR(VLOOKUP(E65,Routes!$A$2:$D$100,3,0),"")</f>
        <v/>
      </c>
      <c r="E65" s="9" t="n"/>
      <c r="F65" s="9" t="n"/>
      <c r="G65" s="11">
        <f>IFERROR(IF(E65&lt;&gt;"",VLOOKUP(E65,Routes!$A$2:$B$100,2,0),""),"")</f>
        <v/>
      </c>
      <c r="H65" s="12" t="n"/>
      <c r="I65" s="12" t="n"/>
      <c r="J65" s="12" t="n"/>
      <c r="K65" s="11">
        <f>IFERROR(IF(E65&lt;&gt;"",G65+IF(H65="",0,H65)+IF(I65="",0,I65)+IF(J65="",0,J65),""),"")</f>
        <v/>
      </c>
    </row>
    <row r="66">
      <c r="A66" s="7">
        <f>+A65+1</f>
        <v/>
      </c>
      <c r="B66" s="8" t="n"/>
      <c r="C66" s="9" t="n"/>
      <c r="D66" s="10">
        <f>IFERROR(VLOOKUP(E66,Routes!$A$2:$D$100,3,0),"")</f>
        <v/>
      </c>
      <c r="E66" s="9" t="n"/>
      <c r="F66" s="9" t="n"/>
      <c r="G66" s="11">
        <f>IFERROR(IF(E66&lt;&gt;"",VLOOKUP(E66,Routes!$A$2:$B$100,2,0),""),"")</f>
        <v/>
      </c>
      <c r="H66" s="12" t="n"/>
      <c r="I66" s="12" t="n"/>
      <c r="J66" s="12" t="n"/>
      <c r="K66" s="11">
        <f>IFERROR(IF(E66&lt;&gt;"",G66+IF(H66="",0,H66)+IF(I66="",0,I66)+IF(J66="",0,J66),""),"")</f>
        <v/>
      </c>
    </row>
    <row r="67">
      <c r="A67" s="7">
        <f>+A66+1</f>
        <v/>
      </c>
      <c r="B67" s="8" t="n"/>
      <c r="C67" s="9" t="n"/>
      <c r="D67" s="10">
        <f>IFERROR(VLOOKUP(E67,Routes!$A$2:$D$100,3,0),"")</f>
        <v/>
      </c>
      <c r="E67" s="9" t="n"/>
      <c r="F67" s="9" t="n"/>
      <c r="G67" s="11">
        <f>IFERROR(IF(E67&lt;&gt;"",VLOOKUP(E67,Routes!$A$2:$B$100,2,0),""),"")</f>
        <v/>
      </c>
      <c r="H67" s="12" t="n"/>
      <c r="I67" s="12" t="n"/>
      <c r="J67" s="12" t="n"/>
      <c r="K67" s="11">
        <f>IFERROR(IF(E67&lt;&gt;"",G67+IF(H67="",0,H67)+IF(I67="",0,I67)+IF(J67="",0,J67),""),"")</f>
        <v/>
      </c>
    </row>
    <row r="68">
      <c r="A68" s="7">
        <f>+A67+1</f>
        <v/>
      </c>
      <c r="B68" s="8" t="n"/>
      <c r="C68" s="9" t="n"/>
      <c r="D68" s="10">
        <f>IFERROR(VLOOKUP(E68,Routes!$A$2:$D$100,3,0),"")</f>
        <v/>
      </c>
      <c r="E68" s="9" t="n"/>
      <c r="F68" s="9" t="n"/>
      <c r="G68" s="11">
        <f>IFERROR(IF(E68&lt;&gt;"",VLOOKUP(E68,Routes!$A$2:$B$100,2,0),""),"")</f>
        <v/>
      </c>
      <c r="H68" s="12" t="n"/>
      <c r="I68" s="12" t="n"/>
      <c r="J68" s="12" t="n"/>
      <c r="K68" s="11">
        <f>IFERROR(IF(E68&lt;&gt;"",G68+IF(H68="",0,H68)+IF(I68="",0,I68)+IF(J68="",0,J68),""),"")</f>
        <v/>
      </c>
    </row>
    <row r="69">
      <c r="A69" s="7">
        <f>+A68+1</f>
        <v/>
      </c>
      <c r="B69" s="8" t="n"/>
      <c r="C69" s="9" t="n"/>
      <c r="D69" s="10">
        <f>IFERROR(VLOOKUP(E69,Routes!$A$2:$D$100,3,0),"")</f>
        <v/>
      </c>
      <c r="E69" s="9" t="n"/>
      <c r="F69" s="9" t="n"/>
      <c r="G69" s="11">
        <f>IFERROR(IF(E69&lt;&gt;"",VLOOKUP(E69,Routes!$A$2:$B$100,2,0),""),"")</f>
        <v/>
      </c>
      <c r="H69" s="12" t="n"/>
      <c r="I69" s="12" t="n"/>
      <c r="J69" s="12" t="n"/>
      <c r="K69" s="11">
        <f>IFERROR(IF(E69&lt;&gt;"",G69+IF(H69="",0,H69)+IF(I69="",0,I69)+IF(J69="",0,J69),""),"")</f>
        <v/>
      </c>
    </row>
    <row r="70">
      <c r="A70" s="7">
        <f>+A69+1</f>
        <v/>
      </c>
      <c r="B70" s="8" t="n"/>
      <c r="C70" s="9" t="n"/>
      <c r="D70" s="10">
        <f>IFERROR(VLOOKUP(E70,Routes!$A$2:$D$100,3,0),"")</f>
        <v/>
      </c>
      <c r="E70" s="9" t="n"/>
      <c r="F70" s="9" t="n"/>
      <c r="G70" s="11">
        <f>IFERROR(IF(E70&lt;&gt;"",VLOOKUP(E70,Routes!$A$2:$B$100,2,0),""),"")</f>
        <v/>
      </c>
      <c r="H70" s="12" t="n"/>
      <c r="I70" s="12" t="n"/>
      <c r="J70" s="12" t="n"/>
      <c r="K70" s="11">
        <f>IFERROR(IF(E70&lt;&gt;"",G70+IF(H70="",0,H70)+IF(I70="",0,I70)+IF(J70="",0,J70),""),"")</f>
        <v/>
      </c>
    </row>
    <row r="71">
      <c r="A71" s="7">
        <f>+A70+1</f>
        <v/>
      </c>
      <c r="B71" s="8" t="n"/>
      <c r="C71" s="9" t="n"/>
      <c r="D71" s="10">
        <f>IFERROR(VLOOKUP(E71,Routes!$A$2:$D$100,3,0),"")</f>
        <v/>
      </c>
      <c r="E71" s="9" t="n"/>
      <c r="F71" s="9" t="n"/>
      <c r="G71" s="11">
        <f>IFERROR(IF(E71&lt;&gt;"",VLOOKUP(E71,Routes!$A$2:$B$100,2,0),""),"")</f>
        <v/>
      </c>
      <c r="H71" s="12" t="n"/>
      <c r="I71" s="12" t="n"/>
      <c r="J71" s="12" t="n"/>
      <c r="K71" s="11">
        <f>IFERROR(IF(E71&lt;&gt;"",G71+IF(H71="",0,H71)+IF(I71="",0,I71)+IF(J71="",0,J71),""),"")</f>
        <v/>
      </c>
    </row>
    <row r="72">
      <c r="A72" s="7">
        <f>+A71+1</f>
        <v/>
      </c>
      <c r="B72" s="8" t="n"/>
      <c r="C72" s="9" t="n"/>
      <c r="D72" s="10">
        <f>IFERROR(VLOOKUP(E72,Routes!$A$2:$D$100,3,0),"")</f>
        <v/>
      </c>
      <c r="E72" s="9" t="n"/>
      <c r="F72" s="9" t="n"/>
      <c r="G72" s="11">
        <f>IFERROR(IF(E72&lt;&gt;"",VLOOKUP(E72,Routes!$A$2:$B$100,2,0),""),"")</f>
        <v/>
      </c>
      <c r="H72" s="12" t="n"/>
      <c r="I72" s="12" t="n"/>
      <c r="J72" s="12" t="n"/>
      <c r="K72" s="11">
        <f>IFERROR(IF(E72&lt;&gt;"",G72+IF(H72="",0,H72)+IF(I72="",0,I72)+IF(J72="",0,J72),""),"")</f>
        <v/>
      </c>
    </row>
    <row r="73">
      <c r="A73" s="7">
        <f>+A72+1</f>
        <v/>
      </c>
      <c r="B73" s="8" t="n"/>
      <c r="C73" s="9" t="n"/>
      <c r="D73" s="10">
        <f>IFERROR(VLOOKUP(E73,Routes!$A$2:$D$100,3,0),"")</f>
        <v/>
      </c>
      <c r="E73" s="9" t="n"/>
      <c r="F73" s="9" t="n"/>
      <c r="G73" s="11">
        <f>IFERROR(IF(E73&lt;&gt;"",VLOOKUP(E73,Routes!$A$2:$B$100,2,0),""),"")</f>
        <v/>
      </c>
      <c r="H73" s="12" t="n"/>
      <c r="I73" s="12" t="n"/>
      <c r="J73" s="12" t="n"/>
      <c r="K73" s="11">
        <f>IFERROR(IF(E73&lt;&gt;"",G73+IF(H73="",0,H73)+IF(I73="",0,I73)+IF(J73="",0,J73),""),"")</f>
        <v/>
      </c>
    </row>
    <row r="74">
      <c r="A74" s="7">
        <f>+A73+1</f>
        <v/>
      </c>
      <c r="B74" s="8" t="n"/>
      <c r="C74" s="9" t="n"/>
      <c r="D74" s="10">
        <f>IFERROR(VLOOKUP(E74,Routes!$A$2:$D$100,3,0),"")</f>
        <v/>
      </c>
      <c r="E74" s="9" t="n"/>
      <c r="F74" s="9" t="n"/>
      <c r="G74" s="11">
        <f>IFERROR(IF(E74&lt;&gt;"",VLOOKUP(E74,Routes!$A$2:$B$100,2,0),""),"")</f>
        <v/>
      </c>
      <c r="H74" s="12" t="n"/>
      <c r="I74" s="12" t="n"/>
      <c r="J74" s="12" t="n"/>
      <c r="K74" s="11">
        <f>IFERROR(IF(E74&lt;&gt;"",G74+IF(H74="",0,H74)+IF(I74="",0,I74)+IF(J74="",0,J74),""),"")</f>
        <v/>
      </c>
    </row>
    <row r="75">
      <c r="A75" s="7">
        <f>+A74+1</f>
        <v/>
      </c>
      <c r="B75" s="8" t="n"/>
      <c r="C75" s="9" t="n"/>
      <c r="D75" s="10">
        <f>IFERROR(VLOOKUP(E75,Routes!$A$2:$D$100,3,0),"")</f>
        <v/>
      </c>
      <c r="E75" s="9" t="n"/>
      <c r="F75" s="9" t="n"/>
      <c r="G75" s="11">
        <f>IFERROR(IF(E75&lt;&gt;"",VLOOKUP(E75,Routes!$A$2:$B$100,2,0),""),"")</f>
        <v/>
      </c>
      <c r="H75" s="12" t="n"/>
      <c r="I75" s="12" t="n"/>
      <c r="J75" s="12" t="n"/>
      <c r="K75" s="11">
        <f>IFERROR(IF(E75&lt;&gt;"",G75+IF(H75="",0,H75)+IF(I75="",0,I75)+IF(J75="",0,J75),""),"")</f>
        <v/>
      </c>
    </row>
    <row r="76">
      <c r="A76" s="7">
        <f>+A75+1</f>
        <v/>
      </c>
      <c r="B76" s="8" t="n"/>
      <c r="C76" s="9" t="n"/>
      <c r="D76" s="10">
        <f>IFERROR(VLOOKUP(E76,Routes!$A$2:$D$100,3,0),"")</f>
        <v/>
      </c>
      <c r="E76" s="9" t="n"/>
      <c r="F76" s="9" t="n"/>
      <c r="G76" s="11">
        <f>IFERROR(IF(E76&lt;&gt;"",VLOOKUP(E76,Routes!$A$2:$B$100,2,0),""),"")</f>
        <v/>
      </c>
      <c r="H76" s="12" t="n"/>
      <c r="I76" s="12" t="n"/>
      <c r="J76" s="12" t="n"/>
      <c r="K76" s="11">
        <f>IFERROR(IF(E76&lt;&gt;"",G76+IF(H76="",0,H76)+IF(I76="",0,I76)+IF(J76="",0,J76),""),"")</f>
        <v/>
      </c>
    </row>
    <row r="77">
      <c r="A77" s="7">
        <f>+A76+1</f>
        <v/>
      </c>
      <c r="B77" s="8" t="n"/>
      <c r="C77" s="9" t="n"/>
      <c r="D77" s="10">
        <f>IFERROR(VLOOKUP(E77,Routes!$A$2:$D$100,3,0),"")</f>
        <v/>
      </c>
      <c r="E77" s="9" t="n"/>
      <c r="F77" s="9" t="n"/>
      <c r="G77" s="11">
        <f>IFERROR(IF(E77&lt;&gt;"",VLOOKUP(E77,Routes!$A$2:$B$100,2,0),""),"")</f>
        <v/>
      </c>
      <c r="H77" s="12" t="n"/>
      <c r="I77" s="12" t="n"/>
      <c r="J77" s="12" t="n"/>
      <c r="K77" s="11">
        <f>IFERROR(IF(E77&lt;&gt;"",G77+IF(H77="",0,H77)+IF(I77="",0,I77)+IF(J77="",0,J77),""),"")</f>
        <v/>
      </c>
    </row>
    <row r="78">
      <c r="A78" s="7">
        <f>+A77+1</f>
        <v/>
      </c>
      <c r="B78" s="8" t="n"/>
      <c r="C78" s="9" t="n"/>
      <c r="D78" s="10">
        <f>IFERROR(VLOOKUP(E78,Routes!$A$2:$D$100,3,0),"")</f>
        <v/>
      </c>
      <c r="E78" s="9" t="n"/>
      <c r="F78" s="9" t="n"/>
      <c r="G78" s="11">
        <f>IFERROR(IF(E78&lt;&gt;"",VLOOKUP(E78,Routes!$A$2:$B$100,2,0),""),"")</f>
        <v/>
      </c>
      <c r="H78" s="12" t="n"/>
      <c r="I78" s="12" t="n"/>
      <c r="J78" s="12" t="n"/>
      <c r="K78" s="11">
        <f>IFERROR(IF(E78&lt;&gt;"",G78+IF(H78="",0,H78)+IF(I78="",0,I78)+IF(J78="",0,J78),""),"")</f>
        <v/>
      </c>
    </row>
    <row r="79">
      <c r="A79" s="7">
        <f>+A78+1</f>
        <v/>
      </c>
      <c r="B79" s="8" t="n"/>
      <c r="C79" s="9" t="n"/>
      <c r="D79" s="10">
        <f>IFERROR(VLOOKUP(E79,Routes!$A$2:$D$100,3,0),"")</f>
        <v/>
      </c>
      <c r="E79" s="9" t="n"/>
      <c r="F79" s="9" t="n"/>
      <c r="G79" s="11">
        <f>IFERROR(IF(E79&lt;&gt;"",VLOOKUP(E79,Routes!$A$2:$B$100,2,0),""),"")</f>
        <v/>
      </c>
      <c r="H79" s="12" t="n"/>
      <c r="I79" s="12" t="n"/>
      <c r="J79" s="12" t="n"/>
      <c r="K79" s="11">
        <f>IFERROR(IF(E79&lt;&gt;"",G79+IF(H79="",0,H79)+IF(I79="",0,I79)+IF(J79="",0,J79),""),"")</f>
        <v/>
      </c>
    </row>
    <row r="80">
      <c r="A80" s="7">
        <f>+A79+1</f>
        <v/>
      </c>
      <c r="B80" s="8" t="n"/>
      <c r="C80" s="9" t="n"/>
      <c r="D80" s="10">
        <f>IFERROR(VLOOKUP(E80,Routes!$A$2:$D$100,3,0),"")</f>
        <v/>
      </c>
      <c r="E80" s="9" t="n"/>
      <c r="F80" s="9" t="n"/>
      <c r="G80" s="11">
        <f>IFERROR(IF(E80&lt;&gt;"",VLOOKUP(E80,Routes!$A$2:$B$100,2,0),""),"")</f>
        <v/>
      </c>
      <c r="H80" s="12" t="n"/>
      <c r="I80" s="12" t="n"/>
      <c r="J80" s="12" t="n"/>
      <c r="K80" s="11">
        <f>IFERROR(IF(E80&lt;&gt;"",G80+IF(H80="",0,H80)+IF(I80="",0,I80)+IF(J80="",0,J80),""),"")</f>
        <v/>
      </c>
    </row>
    <row r="81">
      <c r="A81" s="7">
        <f>+A80+1</f>
        <v/>
      </c>
      <c r="B81" s="8" t="n"/>
      <c r="C81" s="9" t="n"/>
      <c r="D81" s="10">
        <f>IFERROR(VLOOKUP(E81,Routes!$A$2:$D$100,3,0),"")</f>
        <v/>
      </c>
      <c r="E81" s="9" t="n"/>
      <c r="F81" s="9" t="n"/>
      <c r="G81" s="11">
        <f>IFERROR(IF(E81&lt;&gt;"",VLOOKUP(E81,Routes!$A$2:$B$100,2,0),""),"")</f>
        <v/>
      </c>
      <c r="H81" s="12" t="n"/>
      <c r="I81" s="12" t="n"/>
      <c r="J81" s="12" t="n"/>
      <c r="K81" s="11">
        <f>IFERROR(IF(E81&lt;&gt;"",G81+IF(H81="",0,H81)+IF(I81="",0,I81)+IF(J81="",0,J81),""),"")</f>
        <v/>
      </c>
    </row>
    <row r="82">
      <c r="A82" s="7">
        <f>+A81+1</f>
        <v/>
      </c>
      <c r="B82" s="8" t="n"/>
      <c r="C82" s="9" t="n"/>
      <c r="D82" s="10">
        <f>IFERROR(VLOOKUP(E82,Routes!$A$2:$D$100,3,0),"")</f>
        <v/>
      </c>
      <c r="E82" s="9" t="n"/>
      <c r="F82" s="9" t="n"/>
      <c r="G82" s="11">
        <f>IFERROR(IF(E82&lt;&gt;"",VLOOKUP(E82,Routes!$A$2:$B$100,2,0),""),"")</f>
        <v/>
      </c>
      <c r="H82" s="12" t="n"/>
      <c r="I82" s="12" t="n"/>
      <c r="J82" s="12" t="n"/>
      <c r="K82" s="11">
        <f>IFERROR(IF(E82&lt;&gt;"",G82+IF(H82="",0,H82)+IF(I82="",0,I82)+IF(J82="",0,J82),""),"")</f>
        <v/>
      </c>
    </row>
    <row r="83">
      <c r="A83" s="7">
        <f>+A82+1</f>
        <v/>
      </c>
      <c r="B83" s="8" t="n"/>
      <c r="C83" s="9" t="n"/>
      <c r="D83" s="10">
        <f>IFERROR(VLOOKUP(E83,Routes!$A$2:$D$100,3,0),"")</f>
        <v/>
      </c>
      <c r="E83" s="9" t="n"/>
      <c r="F83" s="9" t="n"/>
      <c r="G83" s="11">
        <f>IFERROR(IF(E83&lt;&gt;"",VLOOKUP(E83,Routes!$A$2:$B$100,2,0),""),"")</f>
        <v/>
      </c>
      <c r="H83" s="12" t="n"/>
      <c r="I83" s="12" t="n"/>
      <c r="J83" s="12" t="n"/>
      <c r="K83" s="11">
        <f>IFERROR(IF(E83&lt;&gt;"",G83+IF(H83="",0,H83)+IF(I83="",0,I83)+IF(J83="",0,J83),""),"")</f>
        <v/>
      </c>
    </row>
    <row r="84">
      <c r="A84" s="7">
        <f>+A83+1</f>
        <v/>
      </c>
      <c r="B84" s="8" t="n"/>
      <c r="C84" s="9" t="n"/>
      <c r="D84" s="10">
        <f>IFERROR(VLOOKUP(E84,Routes!$A$2:$D$100,3,0),"")</f>
        <v/>
      </c>
      <c r="E84" s="9" t="n"/>
      <c r="F84" s="9" t="n"/>
      <c r="G84" s="11">
        <f>IFERROR(IF(E84&lt;&gt;"",VLOOKUP(E84,Routes!$A$2:$B$100,2,0),""),"")</f>
        <v/>
      </c>
      <c r="H84" s="12" t="n"/>
      <c r="I84" s="12" t="n"/>
      <c r="J84" s="12" t="n"/>
      <c r="K84" s="11">
        <f>IFERROR(IF(E84&lt;&gt;"",G84+IF(H84="",0,H84)+IF(I84="",0,I84)+IF(J84="",0,J84),""),"")</f>
        <v/>
      </c>
    </row>
    <row r="85">
      <c r="A85" s="7">
        <f>+A84+1</f>
        <v/>
      </c>
      <c r="B85" s="8" t="n"/>
      <c r="C85" s="9" t="n"/>
      <c r="D85" s="10">
        <f>IFERROR(VLOOKUP(E85,Routes!$A$2:$D$100,3,0),"")</f>
        <v/>
      </c>
      <c r="E85" s="9" t="n"/>
      <c r="F85" s="9" t="n"/>
      <c r="G85" s="11">
        <f>IFERROR(IF(E85&lt;&gt;"",VLOOKUP(E85,Routes!$A$2:$B$100,2,0),""),"")</f>
        <v/>
      </c>
      <c r="H85" s="12" t="n"/>
      <c r="I85" s="12" t="n"/>
      <c r="J85" s="12" t="n"/>
      <c r="K85" s="11">
        <f>IFERROR(IF(E85&lt;&gt;"",G85+IF(H85="",0,H85)+IF(I85="",0,I85)+IF(J85="",0,J85),""),"")</f>
        <v/>
      </c>
    </row>
    <row r="86">
      <c r="A86" s="7">
        <f>+A85+1</f>
        <v/>
      </c>
      <c r="B86" s="8" t="n"/>
      <c r="C86" s="9" t="n"/>
      <c r="D86" s="10">
        <f>IFERROR(VLOOKUP(E86,Routes!$A$2:$D$100,3,0),"")</f>
        <v/>
      </c>
      <c r="E86" s="9" t="n"/>
      <c r="F86" s="9" t="n"/>
      <c r="G86" s="11">
        <f>IFERROR(IF(E86&lt;&gt;"",VLOOKUP(E86,Routes!$A$2:$B$100,2,0),""),"")</f>
        <v/>
      </c>
      <c r="H86" s="12" t="n"/>
      <c r="I86" s="12" t="n"/>
      <c r="J86" s="12" t="n"/>
      <c r="K86" s="11">
        <f>IFERROR(IF(E86&lt;&gt;"",G86+IF(H86="",0,H86)+IF(I86="",0,I86)+IF(J86="",0,J86),""),"")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2026-07-05T06:01:32Z</dcterms:created>
  <dcterms:modified xmlns:dcterms="http://purl.org/dc/terms/" xmlns:xsi="http://www.w3.org/2001/XMLSchema-instance" xsi:type="dcterms:W3CDTF">2026-07-05T06:01:32Z</dcterms:modified>
</cp:coreProperties>
</file>